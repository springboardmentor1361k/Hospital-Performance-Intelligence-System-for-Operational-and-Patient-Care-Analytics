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iew Tracker" sheetId="2" state="visible" r:id="rId2"/>
    <sheet xmlns:r="http://schemas.openxmlformats.org/officeDocument/2006/relationships" name="Integration Checks" sheetId="3" state="visible" r:id="rId3"/>
    <sheet xmlns:r="http://schemas.openxmlformats.org/officeDocument/2006/relationships" name="Issues Log" sheetId="4" state="visible" r:id="rId4"/>
  </sheets>
  <definedNames>
    <definedName name="_xlnm._FilterDatabase" localSheetId="1" hidden="1">'Review Tracker'!$A$1:$I$44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7F7F7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9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9" fontId="8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9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9" fontId="8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10" fillId="0" borderId="0" pivotButton="0" quotePrefix="0" xfId="0"/>
    <xf numFmtId="0" fontId="8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8" min="1" max="1"/>
    <col width="12" customWidth="1" style="18" min="2" max="2"/>
    <col width="22" customWidth="1" style="18" min="3" max="3"/>
    <col width="9" customWidth="1" style="18" min="4" max="4"/>
    <col width="14" customWidth="1" style="18" min="5" max="5"/>
    <col width="8" customWidth="1" style="18" min="6" max="6"/>
    <col width="13" customWidth="1" style="18" min="7" max="7"/>
    <col width="8" customWidth="1" style="18" min="8" max="8"/>
    <col width="12" customWidth="1" style="18" min="9" max="9"/>
  </cols>
  <sheetData>
    <row r="1" ht="17.35" customHeight="1" s="19">
      <c r="A1" s="20" t="inlineStr">
        <is>
          <t>Milestone 3 - Team Lead Dashboard Review Tracker</t>
        </is>
      </c>
    </row>
    <row r="2" ht="15" customHeight="1" s="19">
      <c r="A2" s="21" t="inlineStr">
        <is>
          <t>Hospital analytics project | Review of 4 member dashboards</t>
        </is>
      </c>
    </row>
    <row r="4" ht="15" customHeight="1" s="19">
      <c r="A4" s="22" t="inlineStr">
        <is>
          <t>Dashboard</t>
        </is>
      </c>
      <c r="B4" s="22" t="inlineStr">
        <is>
          <t>Member</t>
        </is>
      </c>
      <c r="C4" s="22" t="inlineStr">
        <is>
          <t>Tool</t>
        </is>
      </c>
      <c r="D4" s="22" t="inlineStr">
        <is>
          <t>Items</t>
        </is>
      </c>
      <c r="E4" s="22" t="inlineStr">
        <is>
          <t>Not reviewed</t>
        </is>
      </c>
      <c r="F4" s="22" t="inlineStr">
        <is>
          <t>OK</t>
        </is>
      </c>
      <c r="G4" s="22" t="inlineStr">
        <is>
          <t>Issue found</t>
        </is>
      </c>
      <c r="H4" s="22" t="inlineStr">
        <is>
          <t>Fixed</t>
        </is>
      </c>
      <c r="I4" s="22" t="inlineStr">
        <is>
          <t>% reviewed</t>
        </is>
      </c>
    </row>
    <row r="5" ht="15" customHeight="1" s="19">
      <c r="A5" s="23" t="inlineStr">
        <is>
          <t>Hospital Overview</t>
        </is>
      </c>
      <c r="B5" s="23" t="inlineStr">
        <is>
          <t>Member 2</t>
        </is>
      </c>
      <c r="C5" s="23" t="inlineStr">
        <is>
          <t>Tableau</t>
        </is>
      </c>
      <c r="D5" s="24" t="n">
        <v>8</v>
      </c>
      <c r="E5" s="24" t="n">
        <v>0</v>
      </c>
      <c r="F5" s="24" t="n">
        <v>0</v>
      </c>
      <c r="G5" s="24" t="n">
        <v>8</v>
      </c>
      <c r="H5" s="24" t="n">
        <v>0</v>
      </c>
      <c r="I5" s="25">
        <f>IF(D5=0,0,(D5-E5)/D5)</f>
        <v/>
      </c>
    </row>
    <row r="6" ht="15" customHeight="1" s="19">
      <c r="A6" s="23" t="inlineStr">
        <is>
          <t>Patient Flow</t>
        </is>
      </c>
      <c r="B6" s="23" t="inlineStr">
        <is>
          <t>Member 3</t>
        </is>
      </c>
      <c r="C6" s="23" t="inlineStr">
        <is>
          <t>Python (Colab/Plotly)</t>
        </is>
      </c>
      <c r="D6" s="24" t="n">
        <v>12</v>
      </c>
      <c r="E6" s="24" t="n">
        <v>0</v>
      </c>
      <c r="F6" s="24" t="n">
        <v>0</v>
      </c>
      <c r="G6" s="24" t="n">
        <v>12</v>
      </c>
      <c r="H6" s="24" t="n">
        <v>0</v>
      </c>
      <c r="I6" s="25">
        <f>IF(D6=0,0,(D6-E6)/D6)</f>
        <v/>
      </c>
    </row>
    <row r="7" ht="15" customHeight="1" s="19">
      <c r="A7" s="23" t="inlineStr">
        <is>
          <t>Department Analytics</t>
        </is>
      </c>
      <c r="B7" s="23" t="inlineStr">
        <is>
          <t>Member 4</t>
        </is>
      </c>
      <c r="C7" s="23" t="inlineStr">
        <is>
          <t>Tableau</t>
        </is>
      </c>
      <c r="D7" s="24" t="n">
        <v>7</v>
      </c>
      <c r="E7" s="24" t="n">
        <v>0</v>
      </c>
      <c r="F7" s="24" t="n">
        <v>0</v>
      </c>
      <c r="G7" s="24" t="n">
        <v>7</v>
      </c>
      <c r="H7" s="24" t="n">
        <v>0</v>
      </c>
      <c r="I7" s="25">
        <f>IF(D7=0,0,(D7-E7)/D7)</f>
        <v/>
      </c>
    </row>
    <row r="8" ht="15" customHeight="1" s="19">
      <c r="A8" s="23" t="inlineStr">
        <is>
          <t>Resource Utilization</t>
        </is>
      </c>
      <c r="B8" s="23" t="inlineStr">
        <is>
          <t>Member 5</t>
        </is>
      </c>
      <c r="C8" s="23" t="inlineStr">
        <is>
          <t>Power BI</t>
        </is>
      </c>
      <c r="D8" s="24" t="n">
        <v>16</v>
      </c>
      <c r="E8" s="24" t="n">
        <v>0</v>
      </c>
      <c r="F8" s="24" t="n">
        <v>0</v>
      </c>
      <c r="G8" s="24" t="n">
        <v>16</v>
      </c>
      <c r="H8" s="24" t="n">
        <v>0</v>
      </c>
      <c r="I8" s="25">
        <f>IF(D8=0,0,(D8-E8)/D8)</f>
        <v/>
      </c>
    </row>
    <row r="9" ht="15" customHeight="1" s="19">
      <c r="A9" s="26" t="inlineStr">
        <is>
          <t>Total</t>
        </is>
      </c>
      <c r="B9" s="26" t="n"/>
      <c r="C9" s="26" t="n"/>
      <c r="D9" s="27">
        <f>SUM(D5:D8)</f>
        <v/>
      </c>
      <c r="E9" s="27">
        <f>SUM(E5:E8)</f>
        <v/>
      </c>
      <c r="F9" s="27">
        <f>SUM(F5:F8)</f>
        <v/>
      </c>
      <c r="G9" s="27">
        <f>SUM(G5:G8)</f>
        <v/>
      </c>
      <c r="H9" s="27">
        <f>SUM(H5:H8)</f>
        <v/>
      </c>
      <c r="I9" s="28">
        <f>IF(D9=0,0,(D9-E9)/D9)</f>
        <v/>
      </c>
    </row>
    <row r="10">
      <c r="A10" t="inlineStr">
        <is>
          <t>Total</t>
        </is>
      </c>
      <c r="D10" t="n">
        <v>43</v>
      </c>
      <c r="E10" t="n">
        <v>0</v>
      </c>
      <c r="F10" t="n">
        <v>0</v>
      </c>
      <c r="G10" t="n">
        <v>43</v>
      </c>
      <c r="H10" t="n">
        <v>0</v>
      </c>
    </row>
    <row r="11" ht="15" customHeight="1" s="19">
      <c r="A11" s="29" t="inlineStr">
        <is>
          <t>Integration checks</t>
        </is>
      </c>
    </row>
    <row r="12" ht="15" customHeight="1" s="19">
      <c r="A12" s="30" t="inlineStr">
        <is>
          <t>Total checks</t>
        </is>
      </c>
      <c r="D12" s="31">
        <f>COUNTA('Integration Checks'!$B$2:$B$13)</f>
        <v/>
      </c>
    </row>
    <row r="13" ht="15" customHeight="1" s="19">
      <c r="A13" s="30" t="inlineStr">
        <is>
          <t>Pass / Fixed</t>
        </is>
      </c>
      <c r="D13" s="31">
        <f>COUNTIF('Integration Checks'!$E$2:$E$13,"Pass")+COUNTIF('Integration Checks'!$E$2:$E$13,"Fixed")</f>
        <v/>
      </c>
    </row>
    <row r="14" ht="15" customHeight="1" s="19">
      <c r="A14" s="30" t="inlineStr">
        <is>
          <t>Fail</t>
        </is>
      </c>
      <c r="D14" s="31">
        <f>COUNTIF('Integration Checks'!$E$2:$E$13,"Fail")</f>
        <v/>
      </c>
    </row>
    <row r="15" ht="15" customHeight="1" s="19">
      <c r="A15" s="30" t="inlineStr">
        <is>
          <t>Not checked</t>
        </is>
      </c>
      <c r="D15" s="31">
        <f>COUNTIF('Integration Checks'!$E$2:$E$13,"Not checked")</f>
        <v/>
      </c>
    </row>
    <row r="17" ht="15" customHeight="1" s="19">
      <c r="A17" s="29" t="inlineStr">
        <is>
          <t>Open issues in Issues Log</t>
        </is>
      </c>
      <c r="D17" s="31">
        <f>COUNTA('Issues Log'!$A$3:$A$22)-COUNTIF('Issues Log'!$F$3:$F$22,"Fixed")</f>
        <v/>
      </c>
    </row>
    <row r="18">
      <c r="A18" s="32" t="inlineStr">
        <is>
          <t>Review conclusion</t>
        </is>
      </c>
    </row>
    <row r="19" ht="15" customHeight="1" s="19">
      <c r="A19" s="33" t="inlineStr">
        <is>
          <t>Structural/file review completed for the uploaded Member 2, 3, 4 and 5 artifacts. Independent numeric reconciliation remains blocked because the underlying source CSV dataset (including patient_flow_dataset.csv) was not supplied, and embedded Tableau Hyper/Power BI data could not be independently queried in this environment.</t>
        </is>
      </c>
    </row>
    <row r="20" ht="15" customHeight="1" s="19"/>
    <row r="21" ht="15" customHeight="1" s="19"/>
    <row r="22" ht="15" customHeight="1" s="19">
      <c r="A22" s="30" t="inlineStr">
        <is>
          <t>Notes marked with observations (e.g. definition differences, duplicate visuals) come from reading the files and should be confirmed.</t>
        </is>
      </c>
    </row>
    <row r="23" ht="15" customHeight="1" s="19">
      <c r="A23" s="30" t="inlineStr">
        <is>
          <t>Summary counts update automatically from the other sheets. In the Issues Log, the first (grey italic) row is an example - overwrite or ignore it.</t>
        </is>
      </c>
    </row>
  </sheetData>
  <mergeCells count="1">
    <mergeCell ref="A19:I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8" min="1" max="1"/>
    <col width="22" customWidth="1" style="18" min="2" max="2"/>
    <col width="11" customWidth="1" style="18" min="3" max="3"/>
    <col width="22" customWidth="1" style="18" min="4" max="4"/>
    <col width="9" customWidth="1" style="18" min="5" max="5"/>
    <col width="44" customWidth="1" style="18" min="6" max="6"/>
    <col width="12" customWidth="1" style="18" min="7" max="7"/>
    <col width="16" customWidth="1" style="18" min="8" max="8"/>
    <col width="70" customWidth="1" style="18" min="9" max="9"/>
  </cols>
  <sheetData>
    <row r="1" ht="23.85" customHeight="1" s="19">
      <c r="A1" s="34" t="inlineStr">
        <is>
          <t>#</t>
        </is>
      </c>
      <c r="B1" s="34" t="inlineStr">
        <is>
          <t>Dashboard</t>
        </is>
      </c>
      <c r="C1" s="34" t="inlineStr">
        <is>
          <t>Member</t>
        </is>
      </c>
      <c r="D1" s="34" t="inlineStr">
        <is>
          <t>Tool</t>
        </is>
      </c>
      <c r="E1" s="34" t="inlineStr">
        <is>
          <t>Type</t>
        </is>
      </c>
      <c r="F1" s="34" t="inlineStr">
        <is>
          <t>KPI / Chart</t>
        </is>
      </c>
      <c r="G1" s="34" t="inlineStr">
        <is>
          <t>Found in file</t>
        </is>
      </c>
      <c r="H1" s="34" t="inlineStr">
        <is>
          <t>Review status</t>
        </is>
      </c>
      <c r="I1" s="34" t="inlineStr">
        <is>
          <t>Reviewer notes / observations</t>
        </is>
      </c>
    </row>
    <row r="2" ht="15" customHeight="1" s="19">
      <c r="A2" s="35" t="n">
        <v>1</v>
      </c>
      <c r="B2" s="35" t="inlineStr">
        <is>
          <t>Hospital Overview</t>
        </is>
      </c>
      <c r="C2" s="35" t="inlineStr">
        <is>
          <t>Member 2</t>
        </is>
      </c>
      <c r="D2" s="35" t="inlineStr">
        <is>
          <t>Tableau</t>
        </is>
      </c>
      <c r="E2" s="35" t="inlineStr">
        <is>
          <t>KPI</t>
        </is>
      </c>
      <c r="F2" s="35" t="inlineStr">
        <is>
          <t>Total Admissions</t>
        </is>
      </c>
      <c r="G2" s="35" t="inlineStr">
        <is>
          <t>Yes</t>
        </is>
      </c>
      <c r="H2" s="36" t="inlineStr">
        <is>
          <t>Reviewed – numeric check blocked</t>
        </is>
      </c>
      <c r="I2" s="35" t="n"/>
    </row>
    <row r="3" ht="15" customHeight="1" s="19">
      <c r="A3" s="35" t="n">
        <v>2</v>
      </c>
      <c r="B3" s="35" t="inlineStr">
        <is>
          <t>Hospital Overview</t>
        </is>
      </c>
      <c r="C3" s="35" t="inlineStr">
        <is>
          <t>Member 2</t>
        </is>
      </c>
      <c r="D3" s="35" t="inlineStr">
        <is>
          <t>Tableau</t>
        </is>
      </c>
      <c r="E3" s="35" t="inlineStr">
        <is>
          <t>KPI</t>
        </is>
      </c>
      <c r="F3" s="35" t="inlineStr">
        <is>
          <t>Average LOS</t>
        </is>
      </c>
      <c r="G3" s="35" t="inlineStr">
        <is>
          <t>Yes</t>
        </is>
      </c>
      <c r="H3" s="36" t="inlineStr">
        <is>
          <t>Reviewed – numeric check blocked</t>
        </is>
      </c>
      <c r="I3" s="35" t="inlineStr">
        <is>
          <t>Compare definition with Member 3 'Average Stay' and Member 4 'LOS'</t>
        </is>
      </c>
    </row>
    <row r="4" ht="15" customHeight="1" s="19">
      <c r="A4" s="35" t="n">
        <v>3</v>
      </c>
      <c r="B4" s="35" t="inlineStr">
        <is>
          <t>Hospital Overview</t>
        </is>
      </c>
      <c r="C4" s="35" t="inlineStr">
        <is>
          <t>Member 2</t>
        </is>
      </c>
      <c r="D4" s="35" t="inlineStr">
        <is>
          <t>Tableau</t>
        </is>
      </c>
      <c r="E4" s="35" t="inlineStr">
        <is>
          <t>KPI</t>
        </is>
      </c>
      <c r="F4" s="35" t="inlineStr">
        <is>
          <t>Readmission Rate</t>
        </is>
      </c>
      <c r="G4" s="35" t="inlineStr">
        <is>
          <t>Yes</t>
        </is>
      </c>
      <c r="H4" s="37" t="inlineStr">
        <is>
          <t>Issue found</t>
        </is>
      </c>
      <c r="I4" s="35" t="inlineStr">
        <is>
          <t>Also shown by Member 4 - values should match Readmission formula is present, but its numeric result could not be independently recalculated from the embedded Hyper extract.</t>
        </is>
      </c>
    </row>
    <row r="5" ht="15" customHeight="1" s="19">
      <c r="A5" s="35" t="n">
        <v>4</v>
      </c>
      <c r="B5" s="35" t="inlineStr">
        <is>
          <t>Hospital Overview</t>
        </is>
      </c>
      <c r="C5" s="35" t="inlineStr">
        <is>
          <t>Member 2</t>
        </is>
      </c>
      <c r="D5" s="35" t="inlineStr">
        <is>
          <t>Tableau</t>
        </is>
      </c>
      <c r="E5" s="35" t="inlineStr">
        <is>
          <t>KPI</t>
        </is>
      </c>
      <c r="F5" s="35" t="inlineStr">
        <is>
          <t>Bed Utilization Rate</t>
        </is>
      </c>
      <c r="G5" s="35" t="inlineStr">
        <is>
          <t>Yes</t>
        </is>
      </c>
      <c r="H5" s="37" t="inlineStr">
        <is>
          <t>Issue found</t>
        </is>
      </c>
      <c r="I5" s="35" t="inlineStr">
        <is>
          <t>Separate sheet from Occupancy Rate - confirm the two are defined differently Workbook defines Occupancy Rate and Bed Utilization Rate with the same formula; they are not demonstrably different.</t>
        </is>
      </c>
    </row>
    <row r="6" ht="15" customHeight="1" s="19">
      <c r="A6" s="35" t="n">
        <v>5</v>
      </c>
      <c r="B6" s="35" t="inlineStr">
        <is>
          <t>Hospital Overview</t>
        </is>
      </c>
      <c r="C6" s="35" t="inlineStr">
        <is>
          <t>Member 2</t>
        </is>
      </c>
      <c r="D6" s="35" t="inlineStr">
        <is>
          <t>Tableau</t>
        </is>
      </c>
      <c r="E6" s="35" t="inlineStr">
        <is>
          <t>KPI</t>
        </is>
      </c>
      <c r="F6" s="35" t="inlineStr">
        <is>
          <t>Occupancy Rate</t>
        </is>
      </c>
      <c r="G6" s="35" t="inlineStr">
        <is>
          <t>Yes</t>
        </is>
      </c>
      <c r="H6" s="36" t="inlineStr">
        <is>
          <t>Reviewed – numeric check blocked</t>
        </is>
      </c>
      <c r="I6" s="35" t="inlineStr">
        <is>
          <t>Also shown by Member 4 - values should match</t>
        </is>
      </c>
    </row>
    <row r="7" ht="15" customHeight="1" s="19">
      <c r="A7" s="35" t="n">
        <v>6</v>
      </c>
      <c r="B7" s="35" t="inlineStr">
        <is>
          <t>Hospital Overview</t>
        </is>
      </c>
      <c r="C7" s="35" t="inlineStr">
        <is>
          <t>Member 2</t>
        </is>
      </c>
      <c r="D7" s="35" t="inlineStr">
        <is>
          <t>Tableau</t>
        </is>
      </c>
      <c r="E7" s="35" t="inlineStr">
        <is>
          <t>Chart</t>
        </is>
      </c>
      <c r="F7" s="35" t="inlineStr">
        <is>
          <t>Monthly Admissions</t>
        </is>
      </c>
      <c r="G7" s="35" t="inlineStr">
        <is>
          <t>Yes</t>
        </is>
      </c>
      <c r="H7" s="36" t="inlineStr">
        <is>
          <t>Reviewed – numeric check blocked</t>
        </is>
      </c>
      <c r="I7" s="35" t="n"/>
    </row>
    <row r="8" ht="15" customHeight="1" s="19">
      <c r="A8" s="35" t="n">
        <v>7</v>
      </c>
      <c r="B8" s="35" t="inlineStr">
        <is>
          <t>Hospital Overview</t>
        </is>
      </c>
      <c r="C8" s="35" t="inlineStr">
        <is>
          <t>Member 2</t>
        </is>
      </c>
      <c r="D8" s="35" t="inlineStr">
        <is>
          <t>Tableau</t>
        </is>
      </c>
      <c r="E8" s="35" t="inlineStr">
        <is>
          <t>Chart</t>
        </is>
      </c>
      <c r="F8" s="35" t="inlineStr">
        <is>
          <t>Monthly Discharges</t>
        </is>
      </c>
      <c r="G8" s="35" t="inlineStr">
        <is>
          <t>Yes</t>
        </is>
      </c>
      <c r="H8" s="36" t="inlineStr">
        <is>
          <t>Reviewed – numeric check blocked</t>
        </is>
      </c>
      <c r="I8" s="35" t="n"/>
    </row>
    <row r="9" ht="15" customHeight="1" s="19">
      <c r="A9" s="35" t="n">
        <v>8</v>
      </c>
      <c r="B9" s="35" t="inlineStr">
        <is>
          <t>Hospital Overview</t>
        </is>
      </c>
      <c r="C9" s="35" t="inlineStr">
        <is>
          <t>Member 2</t>
        </is>
      </c>
      <c r="D9" s="35" t="inlineStr">
        <is>
          <t>Tableau</t>
        </is>
      </c>
      <c r="E9" s="35" t="inlineStr">
        <is>
          <t>Chart</t>
        </is>
      </c>
      <c r="F9" s="35" t="inlineStr">
        <is>
          <t>Admissions vs Discharges</t>
        </is>
      </c>
      <c r="G9" s="35" t="inlineStr">
        <is>
          <t>Yes</t>
        </is>
      </c>
      <c r="H9" s="37" t="inlineStr">
        <is>
          <t>Issue found</t>
        </is>
      </c>
      <c r="I9" s="35" t="inlineStr">
        <is>
          <t>Also shown by Member 4 (by department) - totals should reconcile Source CSV patient_flow_dataset.csv is not included among the uploaded files, so the KPI value cannot be independently recalculated.</t>
        </is>
      </c>
    </row>
    <row r="10" ht="15" customHeight="1" s="19">
      <c r="A10" s="35" t="n">
        <v>9</v>
      </c>
      <c r="B10" s="35" t="inlineStr">
        <is>
          <t>Patient Flow</t>
        </is>
      </c>
      <c r="C10" s="35" t="inlineStr">
        <is>
          <t>Member 3</t>
        </is>
      </c>
      <c r="D10" s="35" t="inlineStr">
        <is>
          <t>Python (Colab/Plotly)</t>
        </is>
      </c>
      <c r="E10" s="35" t="inlineStr">
        <is>
          <t>KPI</t>
        </is>
      </c>
      <c r="F10" s="35" t="inlineStr">
        <is>
          <t>Admissions</t>
        </is>
      </c>
      <c r="G10" s="35" t="inlineStr">
        <is>
          <t>Yes</t>
        </is>
      </c>
      <c r="H10" s="37" t="inlineStr">
        <is>
          <t>Issue found</t>
        </is>
      </c>
      <c r="I10" s="35" t="inlineStr">
        <is>
          <t>Source CSV patient_flow_dataset.csv is not included among the uploaded files, so the KPI value cannot be independently recalculated.</t>
        </is>
      </c>
    </row>
    <row r="11" ht="15" customHeight="1" s="19">
      <c r="A11" s="35" t="n">
        <v>10</v>
      </c>
      <c r="B11" s="35" t="inlineStr">
        <is>
          <t>Patient Flow</t>
        </is>
      </c>
      <c r="C11" s="35" t="inlineStr">
        <is>
          <t>Member 3</t>
        </is>
      </c>
      <c r="D11" s="35" t="inlineStr">
        <is>
          <t>Python (Colab/Plotly)</t>
        </is>
      </c>
      <c r="E11" s="35" t="inlineStr">
        <is>
          <t>KPI</t>
        </is>
      </c>
      <c r="F11" s="35" t="inlineStr">
        <is>
          <t>Discharges</t>
        </is>
      </c>
      <c r="G11" s="35" t="inlineStr">
        <is>
          <t>Yes</t>
        </is>
      </c>
      <c r="H11" s="37" t="inlineStr">
        <is>
          <t>Issue found</t>
        </is>
      </c>
      <c r="I11" s="35" t="inlineStr">
        <is>
          <t>Source CSV patient_flow_dataset.csv is not included among the uploaded files, so the KPI value cannot be independently recalculated.</t>
        </is>
      </c>
    </row>
    <row r="12" ht="15" customHeight="1" s="19">
      <c r="A12" s="35" t="n">
        <v>11</v>
      </c>
      <c r="B12" s="35" t="inlineStr">
        <is>
          <t>Patient Flow</t>
        </is>
      </c>
      <c r="C12" s="35" t="inlineStr">
        <is>
          <t>Member 3</t>
        </is>
      </c>
      <c r="D12" s="35" t="inlineStr">
        <is>
          <t>Python (Colab/Plotly)</t>
        </is>
      </c>
      <c r="E12" s="35" t="inlineStr">
        <is>
          <t>KPI</t>
        </is>
      </c>
      <c r="F12" s="35" t="inlineStr">
        <is>
          <t>Transfers</t>
        </is>
      </c>
      <c r="G12" s="35" t="inlineStr">
        <is>
          <t>Yes</t>
        </is>
      </c>
      <c r="H12" s="37" t="inlineStr">
        <is>
          <t>Issue found</t>
        </is>
      </c>
      <c r="I12" s="35" t="inlineStr">
        <is>
          <t>Source CSV patient_flow_dataset.csv is not included among the uploaded files, so the KPI value cannot be independently recalculated.</t>
        </is>
      </c>
    </row>
    <row r="13" ht="15" customHeight="1" s="19">
      <c r="A13" s="35" t="n">
        <v>12</v>
      </c>
      <c r="B13" s="35" t="inlineStr">
        <is>
          <t>Patient Flow</t>
        </is>
      </c>
      <c r="C13" s="35" t="inlineStr">
        <is>
          <t>Member 3</t>
        </is>
      </c>
      <c r="D13" s="35" t="inlineStr">
        <is>
          <t>Python (Colab/Plotly)</t>
        </is>
      </c>
      <c r="E13" s="35" t="inlineStr">
        <is>
          <t>KPI</t>
        </is>
      </c>
      <c r="F13" s="35" t="inlineStr">
        <is>
          <t>Unique Patients</t>
        </is>
      </c>
      <c r="G13" s="35" t="inlineStr">
        <is>
          <t>Yes</t>
        </is>
      </c>
      <c r="H13" s="37" t="inlineStr">
        <is>
          <t>Issue found</t>
        </is>
      </c>
      <c r="I13" s="35" t="inlineStr">
        <is>
          <t>Code calculates Average Stay as mean duration_in_department_hours, which is not whole-admission LOS.</t>
        </is>
      </c>
    </row>
    <row r="14" ht="23.85" customHeight="1" s="19">
      <c r="A14" s="35" t="n">
        <v>13</v>
      </c>
      <c r="B14" s="35" t="inlineStr">
        <is>
          <t>Patient Flow</t>
        </is>
      </c>
      <c r="C14" s="35" t="inlineStr">
        <is>
          <t>Member 3</t>
        </is>
      </c>
      <c r="D14" s="35" t="inlineStr">
        <is>
          <t>Python (Colab/Plotly)</t>
        </is>
      </c>
      <c r="E14" s="35" t="inlineStr">
        <is>
          <t>KPI</t>
        </is>
      </c>
      <c r="F14" s="35" t="inlineStr">
        <is>
          <t>Average Stay</t>
        </is>
      </c>
      <c r="G14" s="35" t="inlineStr">
        <is>
          <t>Yes</t>
        </is>
      </c>
      <c r="H14" s="37" t="inlineStr">
        <is>
          <t>Issue found</t>
        </is>
      </c>
      <c r="I14" s="35" t="inlineStr">
        <is>
          <t>Calculated as mean of duration_in_department_hours (time per department stay), not whole-admission LOS - not comparable to Member 2's Average LOS Patient Volume is movement-record count, not distinct-patient count.</t>
        </is>
      </c>
    </row>
    <row r="15" ht="15" customHeight="1" s="19">
      <c r="A15" s="35" t="n">
        <v>14</v>
      </c>
      <c r="B15" s="35" t="inlineStr">
        <is>
          <t>Patient Flow</t>
        </is>
      </c>
      <c r="C15" s="35" t="inlineStr">
        <is>
          <t>Member 3</t>
        </is>
      </c>
      <c r="D15" s="35" t="inlineStr">
        <is>
          <t>Python (Colab/Plotly)</t>
        </is>
      </c>
      <c r="E15" s="35" t="inlineStr">
        <is>
          <t>Chart</t>
        </is>
      </c>
      <c r="F15" s="35" t="inlineStr">
        <is>
          <t>Patient Volume Over Time</t>
        </is>
      </c>
      <c r="G15" s="35" t="inlineStr">
        <is>
          <t>Yes</t>
        </is>
      </c>
      <c r="H15" s="36" t="inlineStr">
        <is>
          <t>Reviewed – numeric check blocked</t>
        </is>
      </c>
      <c r="I15" s="35" t="inlineStr">
        <is>
          <t>'Volume' counts movement records, not distinct patients</t>
        </is>
      </c>
    </row>
    <row r="16" ht="15" customHeight="1" s="19">
      <c r="A16" s="35" t="n">
        <v>15</v>
      </c>
      <c r="B16" s="35" t="inlineStr">
        <is>
          <t>Patient Flow</t>
        </is>
      </c>
      <c r="C16" s="35" t="inlineStr">
        <is>
          <t>Member 3</t>
        </is>
      </c>
      <c r="D16" s="35" t="inlineStr">
        <is>
          <t>Python (Colab/Plotly)</t>
        </is>
      </c>
      <c r="E16" s="35" t="inlineStr">
        <is>
          <t>Chart</t>
        </is>
      </c>
      <c r="F16" s="35" t="inlineStr">
        <is>
          <t>Admissions, Discharges and Transfers</t>
        </is>
      </c>
      <c r="G16" s="35" t="inlineStr">
        <is>
          <t>Yes</t>
        </is>
      </c>
      <c r="H16" s="36" t="inlineStr">
        <is>
          <t>Reviewed – numeric check blocked</t>
        </is>
      </c>
      <c r="I16" s="35" t="n"/>
    </row>
    <row r="17" ht="15" customHeight="1" s="19">
      <c r="A17" s="35" t="n">
        <v>16</v>
      </c>
      <c r="B17" s="35" t="inlineStr">
        <is>
          <t>Patient Flow</t>
        </is>
      </c>
      <c r="C17" s="35" t="inlineStr">
        <is>
          <t>Member 3</t>
        </is>
      </c>
      <c r="D17" s="35" t="inlineStr">
        <is>
          <t>Python (Colab/Plotly)</t>
        </is>
      </c>
      <c r="E17" s="35" t="inlineStr">
        <is>
          <t>Chart</t>
        </is>
      </c>
      <c r="F17" s="35" t="inlineStr">
        <is>
          <t>Patient Volume by Department</t>
        </is>
      </c>
      <c r="G17" s="35" t="inlineStr">
        <is>
          <t>Yes</t>
        </is>
      </c>
      <c r="H17" s="36" t="inlineStr">
        <is>
          <t>Reviewed – numeric check blocked</t>
        </is>
      </c>
      <c r="I17" s="35" t="n"/>
    </row>
    <row r="18" ht="15" customHeight="1" s="19">
      <c r="A18" s="35" t="n">
        <v>17</v>
      </c>
      <c r="B18" s="35" t="inlineStr">
        <is>
          <t>Patient Flow</t>
        </is>
      </c>
      <c r="C18" s="35" t="inlineStr">
        <is>
          <t>Member 3</t>
        </is>
      </c>
      <c r="D18" s="35" t="inlineStr">
        <is>
          <t>Python (Colab/Plotly)</t>
        </is>
      </c>
      <c r="E18" s="35" t="inlineStr">
        <is>
          <t>Chart</t>
        </is>
      </c>
      <c r="F18" s="35" t="inlineStr">
        <is>
          <t>Average Department Stay</t>
        </is>
      </c>
      <c r="G18" s="35" t="inlineStr">
        <is>
          <t>Yes</t>
        </is>
      </c>
      <c r="H18" s="36" t="inlineStr">
        <is>
          <t>Reviewed – numeric check blocked</t>
        </is>
      </c>
      <c r="I18" s="35" t="n"/>
    </row>
    <row r="19" ht="15" customHeight="1" s="19">
      <c r="A19" s="35" t="n">
        <v>18</v>
      </c>
      <c r="B19" s="35" t="inlineStr">
        <is>
          <t>Patient Flow</t>
        </is>
      </c>
      <c r="C19" s="35" t="inlineStr">
        <is>
          <t>Member 3</t>
        </is>
      </c>
      <c r="D19" s="35" t="inlineStr">
        <is>
          <t>Python (Colab/Plotly)</t>
        </is>
      </c>
      <c r="E19" s="35" t="inlineStr">
        <is>
          <t>Chart</t>
        </is>
      </c>
      <c r="F19" s="35" t="inlineStr">
        <is>
          <t>Patient Volume by Hour</t>
        </is>
      </c>
      <c r="G19" s="35" t="inlineStr">
        <is>
          <t>Yes</t>
        </is>
      </c>
      <c r="H19" s="36" t="inlineStr">
        <is>
          <t>Reviewed – numeric check blocked</t>
        </is>
      </c>
      <c r="I19" s="35" t="n"/>
    </row>
    <row r="20" ht="15" customHeight="1" s="19">
      <c r="A20" s="35" t="n">
        <v>19</v>
      </c>
      <c r="B20" s="35" t="inlineStr">
        <is>
          <t>Patient Flow</t>
        </is>
      </c>
      <c r="C20" s="35" t="inlineStr">
        <is>
          <t>Member 3</t>
        </is>
      </c>
      <c r="D20" s="35" t="inlineStr">
        <is>
          <t>Python (Colab/Plotly)</t>
        </is>
      </c>
      <c r="E20" s="35" t="inlineStr">
        <is>
          <t>Chart</t>
        </is>
      </c>
      <c r="F20" s="35" t="inlineStr">
        <is>
          <t>Patient Volume by Shift</t>
        </is>
      </c>
      <c r="G20" s="35" t="inlineStr">
        <is>
          <t>Yes</t>
        </is>
      </c>
      <c r="H20" s="37" t="inlineStr">
        <is>
          <t>Issue found</t>
        </is>
      </c>
      <c r="I20" s="35" t="inlineStr">
        <is>
          <t>Chart title says Admissions vs Discharges, but the plotted data also contains Transfers.</t>
        </is>
      </c>
    </row>
    <row r="21" ht="23.85" customHeight="1" s="19">
      <c r="A21" s="35" t="n">
        <v>20</v>
      </c>
      <c r="B21" s="35" t="inlineStr">
        <is>
          <t>Patient Flow</t>
        </is>
      </c>
      <c r="C21" s="35" t="inlineStr">
        <is>
          <t>Member 3</t>
        </is>
      </c>
      <c r="D21" s="35" t="inlineStr">
        <is>
          <t>Python (Colab/Plotly)</t>
        </is>
      </c>
      <c r="E21" s="35" t="inlineStr">
        <is>
          <t>Chart</t>
        </is>
      </c>
      <c r="F21" s="35" t="inlineStr">
        <is>
          <t>Admissions vs Discharges by Department</t>
        </is>
      </c>
      <c r="G21" s="35" t="inlineStr">
        <is>
          <t>Yes</t>
        </is>
      </c>
      <c r="H21" s="36" t="inlineStr">
        <is>
          <t>Reviewed – numeric check blocked</t>
        </is>
      </c>
      <c r="I21" s="35" t="inlineStr">
        <is>
          <t>Chart title omits Transfers, but the data includes all three movement types - fix title or filter</t>
        </is>
      </c>
    </row>
    <row r="22" ht="15" customHeight="1" s="19">
      <c r="A22" s="35" t="n">
        <v>21</v>
      </c>
      <c r="B22" s="35" t="inlineStr">
        <is>
          <t>Department Analytics</t>
        </is>
      </c>
      <c r="C22" s="35" t="inlineStr">
        <is>
          <t>Member 4</t>
        </is>
      </c>
      <c r="D22" s="35" t="inlineStr">
        <is>
          <t>Tableau</t>
        </is>
      </c>
      <c r="E22" s="35" t="inlineStr">
        <is>
          <t>Chart</t>
        </is>
      </c>
      <c r="F22" s="35" t="inlineStr">
        <is>
          <t>Cmp - Admissions vs Discharges</t>
        </is>
      </c>
      <c r="G22" s="35" t="inlineStr">
        <is>
          <t>Yes</t>
        </is>
      </c>
      <c r="H22" s="36" t="inlineStr">
        <is>
          <t>Reviewed – numeric check blocked</t>
        </is>
      </c>
      <c r="I22" s="35" t="inlineStr">
        <is>
          <t>Reconcile with Member 2 totals</t>
        </is>
      </c>
    </row>
    <row r="23" ht="15" customHeight="1" s="19">
      <c r="A23" s="35" t="n">
        <v>22</v>
      </c>
      <c r="B23" s="35" t="inlineStr">
        <is>
          <t>Department Analytics</t>
        </is>
      </c>
      <c r="C23" s="35" t="inlineStr">
        <is>
          <t>Member 4</t>
        </is>
      </c>
      <c r="D23" s="35" t="inlineStr">
        <is>
          <t>Tableau</t>
        </is>
      </c>
      <c r="E23" s="35" t="inlineStr">
        <is>
          <t>Chart</t>
        </is>
      </c>
      <c r="F23" s="35" t="inlineStr">
        <is>
          <t>Cmp - Capacity vs Occupancy</t>
        </is>
      </c>
      <c r="G23" s="35" t="inlineStr">
        <is>
          <t>Yes</t>
        </is>
      </c>
      <c r="H23" s="36" t="inlineStr">
        <is>
          <t>Reviewed – numeric check blocked</t>
        </is>
      </c>
      <c r="I23" s="35" t="n"/>
    </row>
    <row r="24" ht="15" customHeight="1" s="19">
      <c r="A24" s="35" t="n">
        <v>23</v>
      </c>
      <c r="B24" s="35" t="inlineStr">
        <is>
          <t>Department Analytics</t>
        </is>
      </c>
      <c r="C24" s="35" t="inlineStr">
        <is>
          <t>Member 4</t>
        </is>
      </c>
      <c r="D24" s="35" t="inlineStr">
        <is>
          <t>Tableau</t>
        </is>
      </c>
      <c r="E24" s="35" t="inlineStr">
        <is>
          <t>Chart</t>
        </is>
      </c>
      <c r="F24" s="35" t="inlineStr">
        <is>
          <t>Cmp - LOS</t>
        </is>
      </c>
      <c r="G24" s="35" t="inlineStr">
        <is>
          <t>Yes</t>
        </is>
      </c>
      <c r="H24" s="36" t="inlineStr">
        <is>
          <t>Reviewed – numeric check blocked</t>
        </is>
      </c>
      <c r="I24" s="35" t="inlineStr">
        <is>
          <t>Reconcile with Member 2 Average LOS</t>
        </is>
      </c>
    </row>
    <row r="25" ht="15" customHeight="1" s="19">
      <c r="A25" s="35" t="n">
        <v>24</v>
      </c>
      <c r="B25" s="35" t="inlineStr">
        <is>
          <t>Department Analytics</t>
        </is>
      </c>
      <c r="C25" s="35" t="inlineStr">
        <is>
          <t>Member 4</t>
        </is>
      </c>
      <c r="D25" s="35" t="inlineStr">
        <is>
          <t>Tableau</t>
        </is>
      </c>
      <c r="E25" s="35" t="inlineStr">
        <is>
          <t>Chart</t>
        </is>
      </c>
      <c r="F25" s="35" t="inlineStr">
        <is>
          <t>Cmp - Occupancy</t>
        </is>
      </c>
      <c r="G25" s="35" t="inlineStr">
        <is>
          <t>Yes</t>
        </is>
      </c>
      <c r="H25" s="36" t="inlineStr">
        <is>
          <t>Reviewed – numeric check blocked</t>
        </is>
      </c>
      <c r="I25" s="35" t="inlineStr">
        <is>
          <t>Reconcile with Member 2 Occupancy Rate</t>
        </is>
      </c>
    </row>
    <row r="26" ht="15" customHeight="1" s="19">
      <c r="A26" s="35" t="n">
        <v>25</v>
      </c>
      <c r="B26" s="35" t="inlineStr">
        <is>
          <t>Department Analytics</t>
        </is>
      </c>
      <c r="C26" s="35" t="inlineStr">
        <is>
          <t>Member 4</t>
        </is>
      </c>
      <c r="D26" s="35" t="inlineStr">
        <is>
          <t>Tableau</t>
        </is>
      </c>
      <c r="E26" s="35" t="inlineStr">
        <is>
          <t>Chart</t>
        </is>
      </c>
      <c r="F26" s="35" t="inlineStr">
        <is>
          <t>Cmp - Readmission</t>
        </is>
      </c>
      <c r="G26" s="35" t="inlineStr">
        <is>
          <t>Yes</t>
        </is>
      </c>
      <c r="H26" s="37" t="inlineStr">
        <is>
          <t>Issue found</t>
        </is>
      </c>
      <c r="I26" s="35" t="inlineStr">
        <is>
          <t>Reconcile with Member 2 Readmission Rate Efficiency Ranking uses an efficiency-related field, but no explicit formula is documented in the workbook review material.</t>
        </is>
      </c>
    </row>
    <row r="27" ht="15" customHeight="1" s="19">
      <c r="A27" s="35" t="n">
        <v>26</v>
      </c>
      <c r="B27" s="35" t="inlineStr">
        <is>
          <t>Department Analytics</t>
        </is>
      </c>
      <c r="C27" s="35" t="inlineStr">
        <is>
          <t>Member 4</t>
        </is>
      </c>
      <c r="D27" s="35" t="inlineStr">
        <is>
          <t>Tableau</t>
        </is>
      </c>
      <c r="E27" s="35" t="inlineStr">
        <is>
          <t>Chart</t>
        </is>
      </c>
      <c r="F27" s="35" t="inlineStr">
        <is>
          <t>Cmp - Staff Ratio</t>
        </is>
      </c>
      <c r="G27" s="35" t="inlineStr">
        <is>
          <t>Yes</t>
        </is>
      </c>
      <c r="H27" s="37" t="inlineStr">
        <is>
          <t>Issue found</t>
        </is>
      </c>
      <c r="I27" s="35" t="inlineStr">
        <is>
          <t>Workbook/dashboard name is 'Hospital Operations Dashboard' rather than the milestone name.</t>
        </is>
      </c>
    </row>
    <row r="28" ht="15" customHeight="1" s="19">
      <c r="A28" s="35" t="n">
        <v>27</v>
      </c>
      <c r="B28" s="35" t="inlineStr">
        <is>
          <t>Department Analytics</t>
        </is>
      </c>
      <c r="C28" s="35" t="inlineStr">
        <is>
          <t>Member 4</t>
        </is>
      </c>
      <c r="D28" s="35" t="inlineStr">
        <is>
          <t>Tableau</t>
        </is>
      </c>
      <c r="E28" s="35" t="inlineStr">
        <is>
          <t>Chart</t>
        </is>
      </c>
      <c r="F28" s="35" t="inlineStr">
        <is>
          <t>Efficiency Ranking</t>
        </is>
      </c>
      <c r="G28" s="35" t="inlineStr">
        <is>
          <t>Yes</t>
        </is>
      </c>
      <c r="H28" s="36" t="inlineStr">
        <is>
          <t>Reviewed – numeric check blocked</t>
        </is>
      </c>
      <c r="I28" s="35" t="inlineStr">
        <is>
          <t>Check ranking formula is documented</t>
        </is>
      </c>
    </row>
    <row r="29" ht="15" customHeight="1" s="19">
      <c r="A29" s="35" t="n">
        <v>28</v>
      </c>
      <c r="B29" s="35" t="inlineStr">
        <is>
          <t>Resource Utilization</t>
        </is>
      </c>
      <c r="C29" s="35" t="inlineStr">
        <is>
          <t>Member 5</t>
        </is>
      </c>
      <c r="D29" s="35" t="inlineStr">
        <is>
          <t>Power BI</t>
        </is>
      </c>
      <c r="E29" s="35" t="inlineStr">
        <is>
          <t>KPI</t>
        </is>
      </c>
      <c r="F29" s="35" t="inlineStr">
        <is>
          <t>Units in Use</t>
        </is>
      </c>
      <c r="G29" s="35" t="inlineStr">
        <is>
          <t>Yes</t>
        </is>
      </c>
      <c r="H29" s="36" t="inlineStr">
        <is>
          <t>Reviewed – numeric check blocked</t>
        </is>
      </c>
      <c r="I29" s="35" t="n"/>
    </row>
    <row r="30" ht="15" customHeight="1" s="19">
      <c r="A30" s="35" t="n">
        <v>29</v>
      </c>
      <c r="B30" s="35" t="inlineStr">
        <is>
          <t>Resource Utilization</t>
        </is>
      </c>
      <c r="C30" s="35" t="inlineStr">
        <is>
          <t>Member 5</t>
        </is>
      </c>
      <c r="D30" s="35" t="inlineStr">
        <is>
          <t>Power BI</t>
        </is>
      </c>
      <c r="E30" s="35" t="inlineStr">
        <is>
          <t>KPI</t>
        </is>
      </c>
      <c r="F30" s="35" t="inlineStr">
        <is>
          <t>Utilization Rate %</t>
        </is>
      </c>
      <c r="G30" s="35" t="inlineStr">
        <is>
          <t>Yes</t>
        </is>
      </c>
      <c r="H30" s="36" t="inlineStr">
        <is>
          <t>Reviewed – numeric check blocked</t>
        </is>
      </c>
      <c r="I30" s="35" t="n"/>
    </row>
    <row r="31" ht="15" customHeight="1" s="19">
      <c r="A31" s="35" t="n">
        <v>30</v>
      </c>
      <c r="B31" s="35" t="inlineStr">
        <is>
          <t>Resource Utilization</t>
        </is>
      </c>
      <c r="C31" s="35" t="inlineStr">
        <is>
          <t>Member 5</t>
        </is>
      </c>
      <c r="D31" s="35" t="inlineStr">
        <is>
          <t>Power BI</t>
        </is>
      </c>
      <c r="E31" s="35" t="inlineStr">
        <is>
          <t>KPI</t>
        </is>
      </c>
      <c r="F31" s="35" t="inlineStr">
        <is>
          <t>Total Units Available</t>
        </is>
      </c>
      <c r="G31" s="35" t="inlineStr">
        <is>
          <t>Yes</t>
        </is>
      </c>
      <c r="H31" s="36" t="inlineStr">
        <is>
          <t>Reviewed – numeric check blocked</t>
        </is>
      </c>
      <c r="I31" s="35" t="n"/>
    </row>
    <row r="32" ht="15" customHeight="1" s="19">
      <c r="A32" s="35" t="n">
        <v>31</v>
      </c>
      <c r="B32" s="35" t="inlineStr">
        <is>
          <t>Resource Utilization</t>
        </is>
      </c>
      <c r="C32" s="35" t="inlineStr">
        <is>
          <t>Member 5</t>
        </is>
      </c>
      <c r="D32" s="35" t="inlineStr">
        <is>
          <t>Power BI</t>
        </is>
      </c>
      <c r="E32" s="35" t="inlineStr">
        <is>
          <t>KPI</t>
        </is>
      </c>
      <c r="F32" s="35" t="inlineStr">
        <is>
          <t>Utilized Hours</t>
        </is>
      </c>
      <c r="G32" s="35" t="inlineStr">
        <is>
          <t>Yes</t>
        </is>
      </c>
      <c r="H32" s="36" t="inlineStr">
        <is>
          <t>Reviewed – numeric check blocked</t>
        </is>
      </c>
      <c r="I32" s="35" t="n"/>
    </row>
    <row r="33" ht="15" customHeight="1" s="19">
      <c r="A33" s="35" t="n">
        <v>32</v>
      </c>
      <c r="B33" s="35" t="inlineStr">
        <is>
          <t>Resource Utilization</t>
        </is>
      </c>
      <c r="C33" s="35" t="inlineStr">
        <is>
          <t>Member 5</t>
        </is>
      </c>
      <c r="D33" s="35" t="inlineStr">
        <is>
          <t>Power BI</t>
        </is>
      </c>
      <c r="E33" s="35" t="inlineStr">
        <is>
          <t>Chart</t>
        </is>
      </c>
      <c r="F33" s="35" t="inlineStr">
        <is>
          <t>Downtime Hours by Department</t>
        </is>
      </c>
      <c r="G33" s="35" t="inlineStr">
        <is>
          <t>Yes</t>
        </is>
      </c>
      <c r="H33" s="36" t="inlineStr">
        <is>
          <t>Reviewed – numeric check blocked</t>
        </is>
      </c>
      <c r="I33" s="35" t="n"/>
    </row>
    <row r="34" ht="15" customHeight="1" s="19">
      <c r="A34" s="35" t="n">
        <v>33</v>
      </c>
      <c r="B34" s="35" t="inlineStr">
        <is>
          <t>Resource Utilization</t>
        </is>
      </c>
      <c r="C34" s="35" t="inlineStr">
        <is>
          <t>Member 5</t>
        </is>
      </c>
      <c r="D34" s="35" t="inlineStr">
        <is>
          <t>Power BI</t>
        </is>
      </c>
      <c r="E34" s="35" t="inlineStr">
        <is>
          <t>Chart</t>
        </is>
      </c>
      <c r="F34" s="35" t="inlineStr">
        <is>
          <t>Resource Type by Count (bar)</t>
        </is>
      </c>
      <c r="G34" s="35" t="inlineStr">
        <is>
          <t>Yes</t>
        </is>
      </c>
      <c r="H34" s="37" t="inlineStr">
        <is>
          <t>Issue found</t>
        </is>
      </c>
      <c r="I34" s="35" t="inlineStr">
        <is>
          <t>Power BI model contains resource_utilization_dataset, but this source is not part of the original hospital CSV set identified in the report.</t>
        </is>
      </c>
    </row>
    <row r="35" ht="15" customHeight="1" s="19">
      <c r="A35" s="35" t="n">
        <v>34</v>
      </c>
      <c r="B35" s="35" t="inlineStr">
        <is>
          <t>Resource Utilization</t>
        </is>
      </c>
      <c r="C35" s="35" t="inlineStr">
        <is>
          <t>Member 5</t>
        </is>
      </c>
      <c r="D35" s="35" t="inlineStr">
        <is>
          <t>Power BI</t>
        </is>
      </c>
      <c r="E35" s="35" t="inlineStr">
        <is>
          <t>Chart</t>
        </is>
      </c>
      <c r="F35" s="35" t="inlineStr">
        <is>
          <t>Total Units Available by Department</t>
        </is>
      </c>
      <c r="G35" s="35" t="inlineStr">
        <is>
          <t>Yes</t>
        </is>
      </c>
      <c r="H35" s="36" t="inlineStr">
        <is>
          <t>Reviewed – numeric check blocked</t>
        </is>
      </c>
      <c r="I35" s="35" t="n"/>
    </row>
    <row r="36" ht="15" customHeight="1" s="19">
      <c r="A36" s="35" t="n">
        <v>35</v>
      </c>
      <c r="B36" s="35" t="inlineStr">
        <is>
          <t>Resource Utilization</t>
        </is>
      </c>
      <c r="C36" s="35" t="inlineStr">
        <is>
          <t>Member 5</t>
        </is>
      </c>
      <c r="D36" s="35" t="inlineStr">
        <is>
          <t>Power BI</t>
        </is>
      </c>
      <c r="E36" s="35" t="inlineStr">
        <is>
          <t>Chart</t>
        </is>
      </c>
      <c r="F36" s="35" t="inlineStr">
        <is>
          <t>Utilization Rate over Time (line)</t>
        </is>
      </c>
      <c r="G36" s="35" t="inlineStr">
        <is>
          <t>Yes</t>
        </is>
      </c>
      <c r="H36" s="36" t="inlineStr">
        <is>
          <t>Reviewed – numeric check blocked</t>
        </is>
      </c>
      <c r="I36" s="35" t="inlineStr">
        <is>
          <t>A second line chart with the same fields exists - check whether intentional</t>
        </is>
      </c>
    </row>
    <row r="37" ht="15" customHeight="1" s="19">
      <c r="A37" s="35" t="n">
        <v>36</v>
      </c>
      <c r="B37" s="35" t="inlineStr">
        <is>
          <t>Resource Utilization</t>
        </is>
      </c>
      <c r="C37" s="35" t="inlineStr">
        <is>
          <t>Member 5</t>
        </is>
      </c>
      <c r="D37" s="35" t="inlineStr">
        <is>
          <t>Power BI</t>
        </is>
      </c>
      <c r="E37" s="35" t="inlineStr">
        <is>
          <t>Chart</t>
        </is>
      </c>
      <c r="F37" s="35" t="inlineStr">
        <is>
          <t>Utilization Rate over Time (line, 2nd)</t>
        </is>
      </c>
      <c r="G37" s="35" t="inlineStr">
        <is>
          <t>Yes</t>
        </is>
      </c>
      <c r="H37" s="37" t="inlineStr">
        <is>
          <t>Issue found</t>
        </is>
      </c>
      <c r="I37" s="35" t="inlineStr">
        <is>
          <t>Possible duplicate of the line chart above Potential duplicate utilization visuals remain; visual definitions use overlapping fields and should be confirmed as intentional.</t>
        </is>
      </c>
    </row>
    <row r="38" ht="15" customHeight="1" s="19">
      <c r="A38" s="35" t="n">
        <v>37</v>
      </c>
      <c r="B38" s="35" t="inlineStr">
        <is>
          <t>Resource Utilization</t>
        </is>
      </c>
      <c r="C38" s="35" t="inlineStr">
        <is>
          <t>Member 5</t>
        </is>
      </c>
      <c r="D38" s="35" t="inlineStr">
        <is>
          <t>Power BI</t>
        </is>
      </c>
      <c r="E38" s="35" t="inlineStr">
        <is>
          <t>Chart</t>
        </is>
      </c>
      <c r="F38" s="35" t="inlineStr">
        <is>
          <t>Utilized Hours &amp; Rate by Department (combo)</t>
        </is>
      </c>
      <c r="G38" s="35" t="inlineStr">
        <is>
          <t>Yes</t>
        </is>
      </c>
      <c r="H38" s="37" t="inlineStr">
        <is>
          <t>Issue found</t>
        </is>
      </c>
      <c r="I38" s="35" t="inlineStr">
        <is>
          <t>A second combo chart with the same fields exists - check whether intentional Potential duplicate utilization visuals remain; visual definitions use overlapping fields and should be confirmed as intentional.</t>
        </is>
      </c>
    </row>
    <row r="39" ht="15" customHeight="1" s="19">
      <c r="A39" s="35" t="n">
        <v>38</v>
      </c>
      <c r="B39" s="35" t="inlineStr">
        <is>
          <t>Resource Utilization</t>
        </is>
      </c>
      <c r="C39" s="35" t="inlineStr">
        <is>
          <t>Member 5</t>
        </is>
      </c>
      <c r="D39" s="35" t="inlineStr">
        <is>
          <t>Power BI</t>
        </is>
      </c>
      <c r="E39" s="35" t="inlineStr">
        <is>
          <t>Chart</t>
        </is>
      </c>
      <c r="F39" s="35" t="inlineStr">
        <is>
          <t>Utilized Hours &amp; Rate by Department (combo, 2nd)</t>
        </is>
      </c>
      <c r="G39" s="35" t="inlineStr">
        <is>
          <t>Yes</t>
        </is>
      </c>
      <c r="H39" s="36" t="inlineStr">
        <is>
          <t>Reviewed – numeric check blocked</t>
        </is>
      </c>
      <c r="I39" s="35" t="inlineStr">
        <is>
          <t>Possible duplicate of the combo chart above</t>
        </is>
      </c>
    </row>
    <row r="40" ht="15" customHeight="1" s="19">
      <c r="A40" s="35" t="n">
        <v>39</v>
      </c>
      <c r="B40" s="35" t="inlineStr">
        <is>
          <t>Resource Utilization</t>
        </is>
      </c>
      <c r="C40" s="35" t="inlineStr">
        <is>
          <t>Member 5</t>
        </is>
      </c>
      <c r="D40" s="35" t="inlineStr">
        <is>
          <t>Power BI</t>
        </is>
      </c>
      <c r="E40" s="35" t="inlineStr">
        <is>
          <t>Chart</t>
        </is>
      </c>
      <c r="F40" s="35" t="inlineStr">
        <is>
          <t>Capacity vs Utilized Hours (scatter)</t>
        </is>
      </c>
      <c r="G40" s="35" t="inlineStr">
        <is>
          <t>Yes</t>
        </is>
      </c>
      <c r="H40" s="36" t="inlineStr">
        <is>
          <t>Reviewed – numeric check blocked</t>
        </is>
      </c>
      <c r="I40" s="35" t="n"/>
    </row>
    <row r="41" ht="15" customHeight="1" s="19">
      <c r="A41" s="35" t="n">
        <v>40</v>
      </c>
      <c r="B41" s="35" t="inlineStr">
        <is>
          <t>Resource Utilization</t>
        </is>
      </c>
      <c r="C41" s="35" t="inlineStr">
        <is>
          <t>Member 5</t>
        </is>
      </c>
      <c r="D41" s="35" t="inlineStr">
        <is>
          <t>Power BI</t>
        </is>
      </c>
      <c r="E41" s="35" t="inlineStr">
        <is>
          <t>Chart</t>
        </is>
      </c>
      <c r="F41" s="35" t="inlineStr">
        <is>
          <t>Resource Type Share (pie)</t>
        </is>
      </c>
      <c r="G41" s="35" t="inlineStr">
        <is>
          <t>Yes</t>
        </is>
      </c>
      <c r="H41" s="36" t="inlineStr">
        <is>
          <t>Reviewed – numeric check blocked</t>
        </is>
      </c>
      <c r="I41" s="35" t="n"/>
    </row>
    <row r="42" ht="15" customHeight="1" s="19">
      <c r="A42" s="35" t="n">
        <v>41</v>
      </c>
      <c r="B42" s="35" t="inlineStr">
        <is>
          <t>Resource Utilization</t>
        </is>
      </c>
      <c r="C42" s="35" t="inlineStr">
        <is>
          <t>Member 5</t>
        </is>
      </c>
      <c r="D42" s="35" t="inlineStr">
        <is>
          <t>Power BI</t>
        </is>
      </c>
      <c r="E42" s="35" t="inlineStr">
        <is>
          <t>Chart</t>
        </is>
      </c>
      <c r="F42" s="35" t="inlineStr">
        <is>
          <t>Utilization Rate by Resource Type</t>
        </is>
      </c>
      <c r="G42" s="35" t="inlineStr">
        <is>
          <t>Yes</t>
        </is>
      </c>
      <c r="H42" s="36" t="inlineStr">
        <is>
          <t>Reviewed – numeric check blocked</t>
        </is>
      </c>
      <c r="I42" s="35" t="n"/>
    </row>
    <row r="43" ht="15" customHeight="1" s="19">
      <c r="A43" s="35" t="n">
        <v>42</v>
      </c>
      <c r="B43" s="35" t="inlineStr">
        <is>
          <t>Resource Utilization</t>
        </is>
      </c>
      <c r="C43" s="35" t="inlineStr">
        <is>
          <t>Member 5</t>
        </is>
      </c>
      <c r="D43" s="35" t="inlineStr">
        <is>
          <t>Power BI</t>
        </is>
      </c>
      <c r="E43" s="35" t="inlineStr">
        <is>
          <t>Chart</t>
        </is>
      </c>
      <c r="F43" s="35" t="inlineStr">
        <is>
          <t>Utilization Rate by Department</t>
        </is>
      </c>
      <c r="G43" s="35" t="inlineStr">
        <is>
          <t>Yes</t>
        </is>
      </c>
      <c r="H43" s="36" t="inlineStr">
        <is>
          <t>Reviewed – numeric check blocked</t>
        </is>
      </c>
      <c r="I43" s="35" t="n"/>
    </row>
    <row r="44" ht="15" customHeight="1" s="19">
      <c r="A44" s="35" t="n">
        <v>43</v>
      </c>
      <c r="B44" s="35" t="inlineStr">
        <is>
          <t>Resource Utilization</t>
        </is>
      </c>
      <c r="C44" s="35" t="inlineStr">
        <is>
          <t>Member 5</t>
        </is>
      </c>
      <c r="D44" s="35" t="inlineStr">
        <is>
          <t>Power BI</t>
        </is>
      </c>
      <c r="E44" s="35" t="inlineStr">
        <is>
          <t>Filter</t>
        </is>
      </c>
      <c r="F44" s="35" t="inlineStr">
        <is>
          <t>Department slicer</t>
        </is>
      </c>
      <c r="G44" s="35" t="inlineStr">
        <is>
          <t>Yes</t>
        </is>
      </c>
      <c r="H44" s="36" t="inlineStr">
        <is>
          <t>Reviewed – numeric check blocked</t>
        </is>
      </c>
      <c r="I44" s="35" t="inlineStr">
        <is>
          <t>Confirm it filters all visuals on the page</t>
        </is>
      </c>
    </row>
  </sheetData>
  <autoFilter ref="A1:I44"/>
  <conditionalFormatting sqref="H2:H44">
    <cfRule type="cellIs" rank="0" priority="2" equalAverage="0" operator="equal" aboveAverage="0" dxfId="4" text="" percent="0" bottom="0">
      <formula>"OK"</formula>
    </cfRule>
    <cfRule type="cellIs" rank="0" priority="3" equalAverage="0" operator="equal" aboveAverage="0" dxfId="4" text="" percent="0" bottom="0">
      <formula>"Fixed"</formula>
    </cfRule>
    <cfRule type="cellIs" rank="0" priority="4" equalAverage="0" operator="equal" aboveAverage="0" dxfId="5" text="" percent="0" bottom="0">
      <formula>"Issue found"</formula>
    </cfRule>
  </conditionalFormatting>
  <dataValidations count="1">
    <dataValidation sqref="H2:H44" showDropDown="0" showInputMessage="0" showErrorMessage="0" allowBlank="0" type="list" errorStyle="stop" operator="between">
      <formula1>"Not reviewed,OK,Issue found,Fixed"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8" min="1" max="1"/>
    <col width="34" customWidth="1" style="18" min="2" max="2"/>
    <col width="32" customWidth="1" style="18" min="3" max="3"/>
    <col width="80" customWidth="1" style="18" min="4" max="4"/>
    <col width="14" customWidth="1" style="18" min="5" max="5"/>
    <col width="50" customWidth="1" style="18" min="6" max="6"/>
  </cols>
  <sheetData>
    <row r="1" ht="15" customHeight="1" s="19">
      <c r="A1" s="38" t="inlineStr">
        <is>
          <t>#</t>
        </is>
      </c>
      <c r="B1" s="38" t="inlineStr">
        <is>
          <t>Check</t>
        </is>
      </c>
      <c r="C1" s="38" t="inlineStr">
        <is>
          <t>Dashboards involved</t>
        </is>
      </c>
      <c r="D1" s="38" t="inlineStr">
        <is>
          <t>What to verify</t>
        </is>
      </c>
      <c r="E1" s="38" t="inlineStr">
        <is>
          <t>Status</t>
        </is>
      </c>
      <c r="F1" s="38" t="inlineStr">
        <is>
          <t>Notes</t>
        </is>
      </c>
    </row>
    <row r="2" ht="23.85" customHeight="1" s="19">
      <c r="A2" s="35" t="n">
        <v>1</v>
      </c>
      <c r="B2" s="35" t="inlineStr">
        <is>
          <t>KPI definition: Length of Stay</t>
        </is>
      </c>
      <c r="C2" s="35" t="inlineStr">
        <is>
          <t>Overview, Patient Flow, Dept Analytics</t>
        </is>
      </c>
      <c r="D2" s="35" t="inlineStr">
        <is>
          <t>Same formula (discharge - admission) and unit (days vs hours). Patient Flow uses hours per department stay.</t>
        </is>
      </c>
      <c r="E2" s="37" t="inlineStr">
        <is>
          <t>Issue found</t>
        </is>
      </c>
      <c r="F2" s="39" t="inlineStr">
        <is>
          <t>Member 3 Average Stay is department-stay hours; Member 2 Average LOS is whole-admission LOS in the Tableau workbook. They are not the same KPI definition.</t>
        </is>
      </c>
    </row>
    <row r="3" ht="23.85" customHeight="1" s="19">
      <c r="A3" s="35" t="n">
        <v>2</v>
      </c>
      <c r="B3" s="35" t="inlineStr">
        <is>
          <t>KPI definition: Occupancy / bed utilization</t>
        </is>
      </c>
      <c r="C3" s="35" t="inlineStr">
        <is>
          <t>Overview, Dept Analytics</t>
        </is>
      </c>
      <c r="D3" s="35" t="inlineStr">
        <is>
          <t>Same numerator/denominator; Overview has both Bed Utilization and Occupancy - confirm they differ on purpose.</t>
        </is>
      </c>
      <c r="E3" s="37" t="inlineStr">
        <is>
          <t>Issue found</t>
        </is>
      </c>
      <c r="F3" s="39" t="inlineStr">
        <is>
          <t>Overview workbook contains identical formulas for Occupancy Rate and Bed Utilization Rate; they are not differentiated.</t>
        </is>
      </c>
    </row>
    <row r="4" ht="15" customHeight="1" s="19">
      <c r="A4" s="35" t="n">
        <v>3</v>
      </c>
      <c r="B4" s="35" t="inlineStr">
        <is>
          <t>KPI definition: Readmission rate</t>
        </is>
      </c>
      <c r="C4" s="35" t="inlineStr">
        <is>
          <t>Overview, Dept Analytics</t>
        </is>
      </c>
      <c r="D4" s="35" t="inlineStr">
        <is>
          <t>Same readmission window and population.</t>
        </is>
      </c>
      <c r="E4" s="36" t="inlineStr">
        <is>
          <t>Reviewed – numeric check blocked</t>
        </is>
      </c>
      <c r="F4" s="39" t="inlineStr">
        <is>
          <t>Definitions/formulas could not be fully reconciled because the underlying datasets and numeric outputs were not available for independent recalculation.</t>
        </is>
      </c>
    </row>
    <row r="5" ht="15" customHeight="1" s="19">
      <c r="A5" s="35" t="n">
        <v>4</v>
      </c>
      <c r="B5" s="35" t="inlineStr">
        <is>
          <t>Admissions vs Discharges totals</t>
        </is>
      </c>
      <c r="C5" s="35" t="inlineStr">
        <is>
          <t>Overview, Patient Flow, Dept Analytics</t>
        </is>
      </c>
      <c r="D5" s="35" t="inlineStr">
        <is>
          <t>Overall and department-level counts reconcile with admission.csv (45,000 admissions in source).</t>
        </is>
      </c>
      <c r="E5" s="36" t="inlineStr">
        <is>
          <t>Reviewed – numeric check blocked</t>
        </is>
      </c>
      <c r="F5" s="39" t="inlineStr">
        <is>
          <t>The uploaded files show the relevant KPIs/charts, but the source datasets needed for a fresh reconciliation were not supplied/readable.</t>
        </is>
      </c>
    </row>
    <row r="6" ht="23.85" customHeight="1" s="19">
      <c r="A6" s="35" t="n">
        <v>5</v>
      </c>
      <c r="B6" s="35" t="inlineStr">
        <is>
          <t>Data source availability</t>
        </is>
      </c>
      <c r="C6" s="35" t="inlineStr">
        <is>
          <t>Patient Flow, Resource Utilization</t>
        </is>
      </c>
      <c r="D6" s="35" t="inlineStr">
        <is>
          <t>patient_flow_dataset.csv and the resource-utilization table are not in the original dataset zip - confirm where they come from and that they are in the shared data folder.</t>
        </is>
      </c>
      <c r="E6" s="37" t="inlineStr">
        <is>
          <t>Issue found</t>
        </is>
      </c>
      <c r="F6" s="39" t="inlineStr">
        <is>
          <t>Patient Flow requires patient_flow_dataset.csv; Resource Utilization uses resource_utilization_dataset inside the PBIX. Neither was supplied as the original shared dataset.</t>
        </is>
      </c>
    </row>
    <row r="7" ht="23.85" customHeight="1" s="19">
      <c r="A7" s="35" t="n">
        <v>6</v>
      </c>
      <c r="B7" s="35" t="inlineStr">
        <is>
          <t>Data source consistency</t>
        </is>
      </c>
      <c r="C7" s="35" t="inlineStr">
        <is>
          <t>Overview, Dept Analytics</t>
        </is>
      </c>
      <c r="D7" s="35" t="inlineStr">
        <is>
          <t>Both use member-prepared cleaned files rather than the raw CSVs - confirm cleaning steps are documented.</t>
        </is>
      </c>
      <c r="E7" s="36" t="inlineStr">
        <is>
          <t>Reviewed – numeric check blocked</t>
        </is>
      </c>
      <c r="F7" s="39" t="inlineStr">
        <is>
          <t>Member 2 and Member 4 use prepared data/extracts; the cleaning lineage cannot be independently validated without the raw source dataset.</t>
        </is>
      </c>
    </row>
    <row r="8" ht="15" customHeight="1" s="19">
      <c r="A8" s="35" t="n">
        <v>7</v>
      </c>
      <c r="B8" s="35" t="inlineStr">
        <is>
          <t>Department names</t>
        </is>
      </c>
      <c r="C8" s="35" t="inlineStr">
        <is>
          <t>All</t>
        </is>
      </c>
      <c r="D8" s="35" t="inlineStr">
        <is>
          <t>Same department names/spelling across dashboards so departments can be compared.</t>
        </is>
      </c>
      <c r="E8" s="36" t="inlineStr">
        <is>
          <t>Reviewed – numeric check blocked</t>
        </is>
      </c>
      <c r="F8" s="39" t="inlineStr">
        <is>
          <t>Department names can be inspected in workbook metadata, but cross-dashboard row-level comparison was not possible without the common source data.</t>
        </is>
      </c>
    </row>
    <row r="9" ht="15" customHeight="1" s="19">
      <c r="A9" s="35" t="n">
        <v>8</v>
      </c>
      <c r="B9" s="35" t="inlineStr">
        <is>
          <t>Date range</t>
        </is>
      </c>
      <c r="C9" s="35" t="inlineStr">
        <is>
          <t>All</t>
        </is>
      </c>
      <c r="D9" s="35" t="inlineStr">
        <is>
          <t>Same reporting period on every dashboard.</t>
        </is>
      </c>
      <c r="E9" s="36" t="inlineStr">
        <is>
          <t>Reviewed – numeric check blocked</t>
        </is>
      </c>
      <c r="F9" s="39" t="inlineStr">
        <is>
          <t>Date fields are present, but common reporting-period equality was not independently recalculated.</t>
        </is>
      </c>
    </row>
    <row r="10" ht="23.85" customHeight="1" s="19">
      <c r="A10" s="35" t="n">
        <v>9</v>
      </c>
      <c r="B10" s="35" t="inlineStr">
        <is>
          <t>Titles and naming</t>
        </is>
      </c>
      <c r="C10" s="35" t="inlineStr">
        <is>
          <t>All</t>
        </is>
      </c>
      <c r="D10" s="35" t="inlineStr">
        <is>
          <t>Dashboard titles match the milestone names (Member 4's dashboard is titled 'Hospital Operations Dashboard'; Member 5's page is 'time and efficiency analysis').</t>
        </is>
      </c>
      <c r="E10" s="37" t="inlineStr">
        <is>
          <t>Issue found</t>
        </is>
      </c>
      <c r="F10" s="39" t="inlineStr">
        <is>
          <t>Member 4 is titled 'Hospital Operations Dashboard'; Member 5 page is named 'time and efficiency analysis'.</t>
        </is>
      </c>
    </row>
    <row r="11" ht="23.85" customHeight="1" s="19">
      <c r="A11" s="35" t="n">
        <v>10</v>
      </c>
      <c r="B11" s="35" t="inlineStr">
        <is>
          <t>Visual consistency</t>
        </is>
      </c>
      <c r="C11" s="35" t="inlineStr">
        <is>
          <t>All</t>
        </is>
      </c>
      <c r="D11" s="35" t="inlineStr">
        <is>
          <t>Common colour palette, fonts and KPI card style across the 4 dashboards (tools differ: Tableau, Python, Power BI).</t>
        </is>
      </c>
      <c r="E11" s="37" t="inlineStr">
        <is>
          <t>Issue found</t>
        </is>
      </c>
      <c r="F11" s="39" t="inlineStr">
        <is>
          <t>Tools and styling differ; a common visual convention has not been demonstrated.</t>
        </is>
      </c>
    </row>
    <row r="12" ht="15" customHeight="1" s="19">
      <c r="A12" s="35" t="n">
        <v>11</v>
      </c>
      <c r="B12" s="35" t="inlineStr">
        <is>
          <t>Filters / interactivity</t>
        </is>
      </c>
      <c r="C12" s="35" t="inlineStr">
        <is>
          <t>All</t>
        </is>
      </c>
      <c r="D12" s="35" t="inlineStr">
        <is>
          <t>Slicers and filters work and affect all relevant visuals.</t>
        </is>
      </c>
      <c r="E12" s="36" t="inlineStr">
        <is>
          <t>Reviewed – numeric check blocked</t>
        </is>
      </c>
      <c r="F12" s="39" t="inlineStr">
        <is>
          <t>Filters/slicers are present in the files, but interactive behavior could not be executed here.</t>
        </is>
      </c>
    </row>
    <row r="13" ht="15" customHeight="1" s="19">
      <c r="A13" s="35" t="n">
        <v>12</v>
      </c>
      <c r="B13" s="35" t="inlineStr">
        <is>
          <t>Runs outside author's machine</t>
        </is>
      </c>
      <c r="C13" s="35" t="inlineStr">
        <is>
          <t>Patient Flow</t>
        </is>
      </c>
      <c r="D13" s="35" t="inlineStr">
        <is>
          <t>Script uses Colab-only calls (files.upload, !pip install) - needs a Colab run or a cleaned script.</t>
        </is>
      </c>
      <c r="E13" s="37" t="inlineStr">
        <is>
          <t>Issue found</t>
        </is>
      </c>
      <c r="F13" s="39" t="inlineStr">
        <is>
          <t>Member 3 script explicitly uses Colab-only files.upload and !pip install commands.</t>
        </is>
      </c>
    </row>
  </sheetData>
  <conditionalFormatting sqref="E2:E13">
    <cfRule type="cellIs" rank="0" priority="2" equalAverage="0" operator="equal" aboveAverage="0" dxfId="4" text="" percent="0" bottom="0">
      <formula>"Pass"</formula>
    </cfRule>
    <cfRule type="cellIs" rank="0" priority="3" equalAverage="0" operator="equal" aboveAverage="0" dxfId="4" text="" percent="0" bottom="0">
      <formula>"Fixed"</formula>
    </cfRule>
    <cfRule type="cellIs" rank="0" priority="4" equalAverage="0" operator="equal" aboveAverage="0" dxfId="5" text="" percent="0" bottom="0">
      <formula>"Fail"</formula>
    </cfRule>
  </conditionalFormatting>
  <dataValidations count="1">
    <dataValidation sqref="E2:E13" showDropDown="0" showInputMessage="0" showErrorMessage="0" allowBlank="0" type="list" errorStyle="stop" operator="between">
      <formula1>"Not checked,Pass,Fail,Fixed"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8" min="1" max="1"/>
    <col width="22" customWidth="1" style="18" min="2" max="2"/>
    <col width="11" customWidth="1" style="18" min="3" max="3"/>
    <col width="60" customWidth="1" style="18" min="4" max="4"/>
    <col width="11" customWidth="1" style="18" min="5" max="5"/>
    <col width="12" customWidth="1" style="18" min="6" max="8"/>
    <col width="50" customWidth="1" style="18" min="9" max="9"/>
  </cols>
  <sheetData>
    <row r="1" ht="15" customHeight="1" s="19">
      <c r="A1" s="38" t="inlineStr">
        <is>
          <t>ID</t>
        </is>
      </c>
      <c r="B1" s="38" t="inlineStr">
        <is>
          <t>Dashboard</t>
        </is>
      </c>
      <c r="C1" s="38" t="inlineStr">
        <is>
          <t>Member</t>
        </is>
      </c>
      <c r="D1" s="38" t="inlineStr">
        <is>
          <t>Issue description</t>
        </is>
      </c>
      <c r="E1" s="38" t="inlineStr">
        <is>
          <t>Severity</t>
        </is>
      </c>
      <c r="F1" s="38" t="inlineStr">
        <is>
          <t>Status</t>
        </is>
      </c>
      <c r="G1" s="38" t="inlineStr">
        <is>
          <t>Date found</t>
        </is>
      </c>
      <c r="H1" s="38" t="inlineStr">
        <is>
          <t>Date fixed</t>
        </is>
      </c>
      <c r="I1" s="38" t="inlineStr">
        <is>
          <t>Fix / resolution</t>
        </is>
      </c>
    </row>
    <row r="2" ht="15" customHeight="1" s="19">
      <c r="A2" s="40" t="inlineStr">
        <is>
          <t>EXAMPLE</t>
        </is>
      </c>
      <c r="B2" s="40" t="inlineStr">
        <is>
          <t>Patient Flow</t>
        </is>
      </c>
      <c r="C2" s="40" t="inlineStr">
        <is>
          <t>Member 3</t>
        </is>
      </c>
      <c r="D2" s="40" t="inlineStr">
        <is>
          <t>Chart title says 'Admissions vs Discharges' but chart also shows Transfers</t>
        </is>
      </c>
      <c r="E2" s="40" t="inlineStr">
        <is>
          <t>Low</t>
        </is>
      </c>
      <c r="F2" s="40" t="inlineStr">
        <is>
          <t>Open</t>
        </is>
      </c>
      <c r="G2" s="40" t="n"/>
      <c r="H2" s="40" t="n"/>
      <c r="I2" s="40" t="n"/>
    </row>
    <row r="3" ht="15" customHeight="1" s="19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</row>
    <row r="4" ht="15" customHeight="1" s="19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</row>
    <row r="5" ht="15" customHeight="1" s="19">
      <c r="A5" s="39" t="n"/>
      <c r="B5" s="39" t="n"/>
      <c r="C5" s="39" t="n"/>
      <c r="D5" s="39" t="n"/>
      <c r="E5" s="39" t="n"/>
      <c r="F5" s="39" t="n"/>
      <c r="G5" s="39" t="n"/>
      <c r="H5" s="39" t="n"/>
      <c r="I5" s="39" t="n"/>
    </row>
    <row r="6" ht="15" customHeight="1" s="19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15" customHeight="1" s="19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</row>
    <row r="8" ht="15" customHeight="1" s="19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</row>
    <row r="9" ht="15" customHeight="1" s="19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</row>
    <row r="10" ht="15" customHeight="1" s="19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</row>
    <row r="11" ht="15" customHeight="1" s="19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</row>
    <row r="12" ht="15" customHeight="1" s="19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</row>
    <row r="13" ht="15" customHeight="1" s="19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</row>
    <row r="14" ht="15" customHeight="1" s="19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</row>
    <row r="15" ht="15" customHeight="1" s="19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</row>
    <row r="16" ht="15" customHeight="1" s="19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</row>
    <row r="17" ht="15" customHeight="1" s="19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</row>
    <row r="18" ht="15" customHeight="1" s="19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</row>
    <row r="19" ht="15" customHeight="1" s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</row>
    <row r="20" ht="15" customHeight="1" s="19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</row>
    <row r="21" ht="15" customHeight="1" s="19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</row>
    <row r="22" ht="15" customHeight="1" s="19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</row>
  </sheetData>
  <dataValidations count="2">
    <dataValidation sqref="E3:E22" showDropDown="0" showInputMessage="0" showErrorMessage="0" allowBlank="0" type="list" errorStyle="stop" operator="between">
      <formula1>"Low,Medium,High"</formula1>
      <formula2>0</formula2>
    </dataValidation>
    <dataValidation sqref="F3:F22" showDropDown="0" showInputMessage="0" showErrorMessage="0" allowBlank="0" type="list" errorStyle="stop" operator="between">
      <formula1>"Open,In progress,Fixed"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2026-09-24T14:16:51Z</dcterms:created>
  <dcterms:modified xmlns:dcterms="http://purl.org/dc/terms/" xmlns:xsi="http://www.w3.org/2001/XMLSchema-instance" xsi:type="dcterms:W3CDTF">2026-09-24T14:26:26Z</dcterms:modified>
  <cp:revision>0</cp:revision>
</cp:coreProperties>
</file>